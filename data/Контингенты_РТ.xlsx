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drawings/s1-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s3-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name="Направления_на_МО" sheetId="1"/>
    <sheet r:id="rId2" name="Конт МО" sheetId="2"/>
    <sheet r:id="rId3" name="Направления на ПО (автомат!!!)" sheetId="3"/>
    <sheet r:id="rId4" name="Конт ПО" sheetId="4"/>
  </sheets>
  <definedNames>
    <definedName name="Подразделения">'Конт МО'!$F$4:$F$8</definedName>
    <definedName name="Должности">OFFSET('Конт МО'!$C$4,MATCH('Направления_на_МО'!$A$36,'Конт МО'!$B$4:$B$23,0)-1,0,COUNTIF('Конт МО'!$B$4:$B$23,'Направления_на_МО'!$A$36),1)</definedName>
    <definedName name="_xlnm.Print_Area" localSheetId="0">'Направления_на_МО'!$A$1:$K$54</definedName>
    <definedName name="_xlnm.Print_Area" localSheetId="1">'Конт МО'!$B$1:$D$23</definedName>
    <definedName name="_xlnm.Print_Area" localSheetId="2">'Направления на ПО (автомат!!!)'!$A$1:$K$51</definedName>
    <definedName name="_xlnm.Print_Area" localSheetId="3">'Конт ПО'!$B$1:$D$23</definedName>
  </definedNames>
  <calcPr calcMode="auto" fullCalcOnLoad="1" forceFullCalc="1"/>
</workbook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09/9/main" xmlns:ns3="http://schemas.microsoft.com/office/spreadsheetml/2010/11/main">
  <numFmts count="3">
    <numFmt numFmtId="164" formatCode="[$-F800]dddd\,\ mmmm\ dd\,\ yyyy"/>
    <numFmt numFmtId="165" formatCode="[$-F800]dddd\,\ mmmm\ dd\,\ yyyy"/>
    <numFmt numFmtId="166" formatCode="[$-0419]d mmmm yyyy &quot;г.&quot;"/>
  </numFmts>
  <fonts count="23" ns1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1"/>
      <name val="Carlito"/>
    </font>
    <font>
      <sz val="11"/>
      <color rgb="FF15263B"/>
      <name val="Arial"/>
    </font>
    <font>
      <b/>
      <sz val="15"/>
      <color rgb="FF17365A"/>
      <name val="Arial"/>
    </font>
    <font>
      <i/>
      <sz val="10"/>
      <color rgb="FF56657A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1"/>
      <name val="Carlito"/>
    </font>
    <font>
      <sz val="11"/>
      <color rgb="FF15263B"/>
      <name val="Arial"/>
    </font>
    <font>
      <b/>
      <sz val="15"/>
      <color rgb="FF17365A"/>
      <name val="Arial"/>
    </font>
    <font>
      <i/>
      <sz val="10"/>
      <color rgb="FF56657A"/>
      <name val="Arial"/>
    </font>
    <font>
      <b/>
      <sz val="11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none"/>
    </fill>
    <fill>
      <patternFill patternType="gray125"/>
    </fill>
    <fill>
      <patternFill patternType="solid">
        <fgColor rgb="FF24476B"/>
      </patternFill>
    </fill>
    <fill>
      <patternFill patternType="solid">
        <fgColor rgb="FFF0F5FA"/>
      </patternFill>
    </fill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none"/>
    </fill>
    <fill>
      <patternFill patternType="gray125"/>
    </fill>
    <fill>
      <patternFill patternType="solid">
        <fgColor rgb="FF24476B"/>
      </patternFill>
    </fill>
    <fill>
      <patternFill patternType="solid">
        <fgColor rgb="FFF0F5FA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6" fillId="3" borderId="4"/>
    <xf numFmtId="0" fontId="11" fillId="7" borderId="5"/>
    <xf numFmtId="0" fontId="13" fillId="7" borderId="5" applyNumberFormat="0" applyFill="0" applyBorder="0" applyAlignment="0" applyProtection="0"/>
    <xf numFmtId="0" fontId="18" fillId="10" borderId="9"/>
  </cellStyleXfs>
  <cellXfs count="10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164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shrinkToFit="1"/>
    </xf>
    <xf numFmtId="0" fontId="0" fillId="2" borderId="3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quotePrefix="1" applyFont="1" applyBorder="1" applyAlignment="1">
      <alignment horizontal="center"/>
    </xf>
    <xf numFmtId="0" fontId="6" fillId="3" borderId="4" xfId="2"/>
    <xf numFmtId="0" fontId="7" fillId="3" borderId="4" xfId="2" applyNumberFormat="1" applyFont="1" applyFill="1" applyBorder="1"/>
    <xf numFmtId="0" fontId="8" fillId="3" borderId="4" xfId="2" applyNumberFormat="1" applyFont="1" applyFill="1" applyBorder="1"/>
    <xf numFmtId="0" fontId="9" fillId="3" borderId="4" xfId="2" applyNumberFormat="1" applyFont="1" applyFill="1" applyBorder="1"/>
    <xf numFmtId="0" fontId="7" fillId="5" borderId="4" xfId="2" applyNumberFormat="1" applyFont="1" applyFill="1" applyBorder="1"/>
    <xf numFmtId="0" fontId="10" fillId="5" borderId="4" xfId="2" applyNumberFormat="1" applyFont="1" applyFill="1" applyBorder="1"/>
    <xf numFmtId="0" fontId="10" fillId="5" borderId="4" xfId="2" applyNumberFormat="1" applyFont="1" applyFill="1" applyBorder="1" applyAlignment="1">
      <alignment wrapText="1"/>
    </xf>
    <xf numFmtId="0" fontId="10" fillId="5" borderId="4" xfId="2" applyNumberFormat="1" applyFont="1" applyFill="1" applyBorder="1" applyAlignment="1">
      <alignment horizontal="center" wrapText="1"/>
    </xf>
    <xf numFmtId="0" fontId="10" fillId="5" borderId="4" xfId="2" applyNumberFormat="1" applyFont="1" applyFill="1" applyBorder="1" applyAlignment="1">
      <alignment horizontal="center" vertical="center" wrapText="1"/>
    </xf>
    <xf numFmtId="0" fontId="7" fillId="3" borderId="4" xfId="2" applyNumberFormat="1" applyFont="1" applyFill="1" applyBorder="1" applyAlignment="1">
      <alignment wrapText="1"/>
    </xf>
    <xf numFmtId="0" fontId="7" fillId="3" borderId="4" xfId="2" applyNumberFormat="1" applyFont="1" applyFill="1" applyBorder="1" applyAlignment="1">
      <alignment vertical="center" wrapText="1"/>
    </xf>
    <xf numFmtId="0" fontId="7" fillId="6" borderId="4" xfId="2" applyNumberFormat="1" applyFont="1" applyFill="1" applyBorder="1" applyAlignment="1">
      <alignment vertical="center" wrapText="1"/>
    </xf>
    <xf numFmtId="0" fontId="11" fillId="7" borderId="5" xfId="3"/>
    <xf numFmtId="0" fontId="11" fillId="9" borderId="6" xfId="3" applyFill="1" applyBorder="1"/>
    <xf numFmtId="0" fontId="11" fillId="7" borderId="5" xfId="3" applyAlignment="1">
      <alignment horizontal="center"/>
    </xf>
    <xf numFmtId="0" fontId="12" fillId="7" borderId="7" xfId="3" applyFont="1" applyBorder="1" applyAlignment="1">
      <alignment horizontal="center"/>
    </xf>
    <xf numFmtId="0" fontId="14" fillId="7" borderId="7" xfId="3" applyFont="1" applyBorder="1" applyAlignment="1">
      <alignment horizontal="center"/>
    </xf>
    <xf numFmtId="0" fontId="12" fillId="7" borderId="6" xfId="3" applyFont="1" applyBorder="1" applyAlignment="1">
      <alignment horizontal="center"/>
    </xf>
    <xf numFmtId="0" fontId="11" fillId="7" borderId="6" xfId="3" applyBorder="1" applyAlignment="1">
      <alignment horizontal="center"/>
    </xf>
    <xf numFmtId="0" fontId="13" fillId="7" borderId="6" xfId="4" applyBorder="1" applyAlignment="1">
      <alignment horizontal="center"/>
    </xf>
    <xf numFmtId="0" fontId="11" fillId="7" borderId="5" xfId="3" applyAlignment="1">
      <alignment vertical="top"/>
    </xf>
    <xf numFmtId="0" fontId="14" fillId="7" borderId="5" xfId="3" applyFont="1"/>
    <xf numFmtId="0" fontId="14" fillId="7" borderId="5" xfId="3" applyFont="1" applyAlignment="1">
      <alignment horizontal="center"/>
    </xf>
    <xf numFmtId="0" fontId="12" fillId="7" borderId="5" xfId="3" applyFont="1" applyAlignment="1">
      <alignment horizontal="left"/>
    </xf>
    <xf numFmtId="0" fontId="14" fillId="7" borderId="7" xfId="3" applyFont="1" applyBorder="1" applyAlignment="1">
      <alignment horizontal="center"/>
    </xf>
    <xf numFmtId="165" fontId="12" fillId="7" borderId="6" xfId="3" applyNumberFormat="1" applyFont="1" applyBorder="1" applyAlignment="1">
      <alignment horizontal="center"/>
    </xf>
    <xf numFmtId="0" fontId="17" fillId="7" borderId="5" xfId="3" applyFont="1" applyAlignment="1">
      <alignment horizontal="left" vertical="center" wrapText="1"/>
    </xf>
    <xf numFmtId="0" fontId="11" fillId="7" borderId="6" xfId="3" applyBorder="1" applyAlignment="1">
      <alignment horizontal="center"/>
    </xf>
    <xf numFmtId="0" fontId="11" fillId="7" borderId="5" xfId="3" applyAlignment="1">
      <alignment horizontal="left"/>
    </xf>
    <xf numFmtId="0" fontId="12" fillId="9" borderId="8" xfId="3" applyFont="1" applyFill="1" applyBorder="1" applyAlignment="1">
      <alignment horizontal="center"/>
    </xf>
    <xf numFmtId="0" fontId="12" fillId="9" borderId="6" xfId="3" applyFont="1" applyFill="1" applyBorder="1" applyAlignment="1">
      <alignment horizontal="center"/>
    </xf>
    <xf numFmtId="0" fontId="12" fillId="9" borderId="5" xfId="3" applyFont="1" applyFill="1" applyAlignment="1">
      <alignment horizontal="center"/>
    </xf>
    <xf numFmtId="0" fontId="12" fillId="9" borderId="7" xfId="3" applyFont="1" applyFill="1" applyBorder="1" applyAlignment="1">
      <alignment horizontal="center" vertical="center" wrapText="1"/>
    </xf>
    <xf numFmtId="0" fontId="11" fillId="7" borderId="5" xfId="3" applyAlignment="1">
      <alignment horizontal="left" vertical="top" wrapText="1"/>
    </xf>
    <xf numFmtId="0" fontId="15" fillId="9" borderId="5" xfId="3" applyFont="1" applyFill="1" applyAlignment="1">
      <alignment horizontal="left" vertical="top" wrapText="1"/>
    </xf>
    <xf numFmtId="0" fontId="16" fillId="7" borderId="5" xfId="3" applyFont="1" applyAlignment="1">
      <alignment horizontal="left" vertical="center" wrapText="1"/>
    </xf>
    <xf numFmtId="165" fontId="11" fillId="7" borderId="5" xfId="3" applyNumberFormat="1" applyAlignment="1">
      <alignment horizontal="left" wrapText="1"/>
    </xf>
    <xf numFmtId="0" fontId="11" fillId="7" borderId="7" xfId="3" applyBorder="1" applyAlignment="1">
      <alignment horizontal="left"/>
    </xf>
    <xf numFmtId="165" fontId="12" fillId="9" borderId="8" xfId="3" applyNumberFormat="1" applyFont="1" applyFill="1" applyBorder="1" applyAlignment="1">
      <alignment horizontal="center"/>
    </xf>
    <xf numFmtId="0" fontId="11" fillId="7" borderId="6" xfId="3" applyBorder="1" applyAlignment="1">
      <alignment horizontal="center" wrapText="1"/>
    </xf>
    <xf numFmtId="0" fontId="11" fillId="9" borderId="6" xfId="3" applyFill="1" applyBorder="1" applyAlignment="1">
      <alignment horizontal="center"/>
    </xf>
    <xf numFmtId="0" fontId="12" fillId="7" borderId="8" xfId="3" applyFont="1" applyBorder="1" applyAlignment="1">
      <alignment horizontal="center"/>
    </xf>
    <xf numFmtId="0" fontId="11" fillId="7" borderId="5" xfId="3" applyAlignment="1">
      <alignment horizontal="center"/>
    </xf>
    <xf numFmtId="0" fontId="12" fillId="7" borderId="6" xfId="3" applyFont="1" applyBorder="1" applyAlignment="1">
      <alignment horizontal="center" wrapText="1"/>
    </xf>
    <xf numFmtId="0" fontId="12" fillId="7" borderId="8" xfId="3" quotePrefix="1" applyFont="1" applyBorder="1" applyAlignment="1">
      <alignment horizontal="center"/>
    </xf>
    <xf numFmtId="0" fontId="12" fillId="7" borderId="5" xfId="3" applyFont="1" applyAlignment="1">
      <alignment horizontal="center"/>
    </xf>
    <xf numFmtId="0" fontId="11" fillId="7" borderId="5" xfId="3" applyAlignment="1">
      <alignment horizontal="left" wrapText="1"/>
    </xf>
    <xf numFmtId="0" fontId="11" fillId="9" borderId="8" xfId="3" applyFill="1" applyBorder="1" applyAlignment="1">
      <alignment horizontal="center"/>
    </xf>
    <xf numFmtId="1" fontId="11" fillId="9" borderId="6" xfId="3" applyNumberFormat="1" applyFill="1" applyBorder="1" applyAlignment="1">
      <alignment horizontal="center"/>
    </xf>
    <xf numFmtId="0" fontId="11" fillId="9" borderId="6" xfId="3" applyFill="1" applyBorder="1" applyAlignment="1">
      <alignment horizontal="center" shrinkToFit="1"/>
    </xf>
    <xf numFmtId="0" fontId="18" fillId="10" borderId="9" xfId="5"/>
    <xf numFmtId="0" fontId="19" fillId="10" borderId="9" xfId="5" applyNumberFormat="1" applyFont="1" applyFill="1" applyBorder="1"/>
    <xf numFmtId="0" fontId="20" fillId="10" borderId="9" xfId="5" applyNumberFormat="1" applyFont="1" applyFill="1" applyBorder="1"/>
    <xf numFmtId="0" fontId="21" fillId="10" borderId="9" xfId="5" applyNumberFormat="1" applyFont="1" applyFill="1" applyBorder="1"/>
    <xf numFmtId="0" fontId="19" fillId="12" borderId="9" xfId="5" applyNumberFormat="1" applyFont="1" applyFill="1" applyBorder="1"/>
    <xf numFmtId="0" fontId="22" fillId="12" borderId="9" xfId="5" applyNumberFormat="1" applyFont="1" applyFill="1" applyBorder="1"/>
    <xf numFmtId="0" fontId="22" fillId="12" borderId="9" xfId="5" applyNumberFormat="1" applyFont="1" applyFill="1" applyBorder="1" applyAlignment="1">
      <alignment wrapText="1"/>
    </xf>
    <xf numFmtId="0" fontId="22" fillId="12" borderId="9" xfId="5" applyNumberFormat="1" applyFont="1" applyFill="1" applyBorder="1" applyAlignment="1">
      <alignment horizontal="center" wrapText="1"/>
    </xf>
    <xf numFmtId="0" fontId="22" fillId="12" borderId="9" xfId="5" applyNumberFormat="1" applyFont="1" applyFill="1" applyBorder="1" applyAlignment="1">
      <alignment horizontal="center" vertical="center" wrapText="1"/>
    </xf>
    <xf numFmtId="0" fontId="19" fillId="10" borderId="9" xfId="5" applyNumberFormat="1" applyFont="1" applyFill="1" applyBorder="1" applyAlignment="1">
      <alignment wrapText="1"/>
    </xf>
    <xf numFmtId="0" fontId="19" fillId="10" borderId="9" xfId="5" applyNumberFormat="1" applyFont="1" applyFill="1" applyBorder="1" applyAlignment="1">
      <alignment vertical="center" wrapText="1"/>
    </xf>
    <xf numFmtId="0" fontId="19" fillId="13" borderId="9" xfId="5" applyNumberFormat="1" applyFont="1" applyFill="1" applyBorder="1" applyAlignment="1">
      <alignment vertical="center" wrapText="1"/>
    </xf>
    <xf numFmtId="166" fontId="1" fillId="2" borderId="3" xfId="0" applyNumberFormat="1" applyFont="1" applyFill="1" applyBorder="1" applyAlignment="1" applyProtection="1">
      <alignment horizontal="center"/>
      <protection locked="0"/>
    </xf>
    <xf numFmtId="166" fontId="1" fillId="0" borderId="1" xfId="0" applyNumberFormat="1" applyFont="1" applyBorder="1" applyAlignment="1">
      <alignment horizontal="center"/>
    </xf>
    <xf numFmtId="166" fontId="12" fillId="9" borderId="8" xfId="3" applyNumberFormat="1" applyFont="1" applyFill="1" applyBorder="1" applyAlignment="1">
      <alignment horizontal="center"/>
    </xf>
    <xf numFmtId="166" fontId="12" fillId="7" borderId="6" xfId="3" applyNumberFormat="1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Styles" Type="http://schemas.openxmlformats.org/officeDocument/2006/relationships/styles" Target="styles.xml" /><Relationship Id="rIdTheme" Type="http://schemas.openxmlformats.org/officeDocument/2006/relationships/theme" Target="theme/theme1.xml" /></Relationships>
</file>

<file path=xl/drawings/_rels/s1-drawing1.xml.rels><?xml version='1.0' encoding='utf-8'?>
<Relationships xmlns="http://schemas.openxmlformats.org/package/2006/relationships"><Relationship Id="rId2" Type="http://schemas.openxmlformats.org/officeDocument/2006/relationships/image" Target="../media/s1-image2.png" /><Relationship Id="rId1" Type="http://schemas.openxmlformats.org/officeDocument/2006/relationships/image" Target="../media/s1-image1.PNG" /></Relationships>
</file>

<file path=xl/drawings/_rels/s3-drawing1.xml.rels><?xml version='1.0' encoding='utf-8'?>
<Relationships xmlns="http://schemas.openxmlformats.org/package/2006/relationships"><Relationship Id="rId2" Type="http://schemas.openxmlformats.org/officeDocument/2006/relationships/image" Target="../media/s3-image2.png" /><Relationship Id="rId1" Type="http://schemas.openxmlformats.org/officeDocument/2006/relationships/image" Target="../media/s3-image1.PNG" /></Relationships>
</file>

<file path=xl/drawings/s1-drawing1.xml><?xml version="1.0" encoding="utf-8"?>
<ns0:wsDr xmlns:ns0="http://schemas.openxmlformats.org/drawingml/2006/spreadsheetDrawing" xmlns:ns1="http://schemas.openxmlformats.org/drawingml/2006/main" xmlns:ns2="http://schemas.microsoft.com/office/drawing/2014/main" xmlns:ns3="http://schemas.openxmlformats.org/officeDocument/2006/relationships" xmlns:ns4="http://schemas.microsoft.com/office/drawing/2010/main">
  <ns0:twoCellAnchor editAs="oneCell">
    <ns0:from>
      <ns0:col>5</ns0:col>
      <ns0:colOff>586740</ns0:colOff>
      <ns0:row>40</ns0:row>
      <ns0:rowOff>15240</ns0:rowOff>
    </ns0:from>
    <ns0:to>
      <ns0:col>8</ns0:col>
      <ns0:colOff>51774</ns0:colOff>
      <ns0:row>49</ns0:row>
      <ns0:rowOff>15239</ns0:rowOff>
    </ns0:to>
    <ns0:pic>
      <ns0:nvPicPr>
        <ns0:cNvPr id="2" name="Demo">
          <ns1:extLst>
            <ns1:ext uri="{FF2B5EF4-FFF2-40B4-BE49-F238E27FC236}">
              <ns2:creationId id="{BE3C196A-691C-4683-A874-E37FD626F018}"/>
            </ns1:ext>
          </ns1:extLst>
        </ns0:cNvPr>
        <ns0:cNvPicPr>
          <ns1:picLocks noChangeAspect="1"/>
        </ns0:cNvPicPr>
      </ns0:nvPicPr>
      <ns0:blipFill>
        <ns1:blip ns3:embed="rId1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ns0:blipFill>
      <ns0:spPr>
        <ns1:xfrm>
          <ns1:off x="3634740" y="8351520"/>
          <ns1:ext cx="1575774" cy="1554479"/>
        </ns1:xfrm>
        <ns1:prstGeom prst="rect">
          <ns1:avLst/>
        </ns1:prstGeom>
      </ns0:spPr>
    </ns0:pic>
    <ns0:clientData/>
  </ns0:twoCellAnchor>
  <ns0:twoCellAnchor editAs="oneCell">
    <ns0:from>
      <ns0:col>7</ns0:col>
      <ns0:colOff>96662</ns0:colOff>
      <ns0:row>40</ns0:row>
      <ns0:rowOff>96661</ns0:rowOff>
    </ns0:from>
    <ns0:to>
      <ns0:col>9</ns0:col>
      <ns0:colOff>232142</ns0:colOff>
      <ns0:row>45</ns0:row>
      <ns0:rowOff>99060</ns0:rowOff>
    </ns0:to>
    <ns0:pic>
      <ns0:nvPicPr>
        <ns0:cNvPr id="3" name="Demo">
          <ns1:extLst>
            <ns1:ext uri="{FF2B5EF4-FFF2-40B4-BE49-F238E27FC236}">
              <ns2:creationId id="{D0784D83-610D-4510-AA6A-72F7E3CD1D68}"/>
            </ns1:ext>
          </ns1:extLst>
        </ns0:cNvPr>
        <ns0:cNvPicPr>
          <ns1:picLocks noChangeAspect="1"/>
        </ns0:cNvPicPr>
      </ns0:nvPicPr>
      <ns0:blipFill>
        <ns1:blip ns3:embed="rId2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ns0:blipFill>
      <ns0:spPr>
        <ns1:xfrm>
          <ns1:off x="4645802" y="8432941"/>
          <ns1:ext cx="1354680" cy="886319"/>
        </ns1:xfrm>
        <ns1:prstGeom prst="rect">
          <ns1:avLst/>
        </ns1:prstGeom>
      </ns0:spPr>
    </ns0:pic>
    <ns0:clientData/>
  </ns0:twoCellAnchor>
</ns0:wsDr>
</file>

<file path=xl/drawings/s3-drawing1.xml><?xml version="1.0" encoding="utf-8"?>
<ns0:wsDr xmlns:ns0="http://schemas.openxmlformats.org/drawingml/2006/spreadsheetDrawing" xmlns:ns1="http://schemas.openxmlformats.org/drawingml/2006/main" xmlns:ns2="http://schemas.microsoft.com/office/drawing/2014/main" xmlns:ns3="http://schemas.openxmlformats.org/officeDocument/2006/relationships" xmlns:ns4="http://schemas.microsoft.com/office/drawing/2010/main">
  <ns0:twoCellAnchor editAs="oneCell">
    <ns0:from>
      <ns0:col>5</ns0:col>
      <ns0:colOff>74957</ns0:colOff>
      <ns0:row>40</ns0:row>
      <ns0:rowOff>280780</ns0:rowOff>
    </ns0:from>
    <ns0:to>
      <ns0:col>7</ns0:col>
      <ns0:colOff>431531</ns0:colOff>
      <ns0:row>49</ns0:row>
      <ns0:rowOff>99225</ns0:rowOff>
    </ns0:to>
    <ns0:pic>
      <ns0:nvPicPr>
        <ns0:cNvPr id="2" name="Demo">
          <ns1:extLst>
            <ns1:ext uri="{FF2B5EF4-FFF2-40B4-BE49-F238E27FC236}">
              <ns2:creationId id="{97ABDE16-41CC-4DF9-BB23-01C1A8F9BAEB}"/>
            </ns1:ext>
          </ns1:extLst>
        </ns0:cNvPr>
        <ns0:cNvPicPr>
          <ns1:picLocks noChangeAspect="1"/>
        </ns0:cNvPicPr>
      </ns0:nvPicPr>
      <ns0:blipFill>
        <ns1:blip ns3:embed="rId1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ns0:blipFill>
      <ns0:spPr>
        <ns1:xfrm>
          <ns1:off x="3780182" y="9748630"/>
          <ns1:ext cx="1575774" cy="1532945"/>
        </ns1:xfrm>
        <ns1:prstGeom prst="rect">
          <ns1:avLst/>
        </ns1:prstGeom>
      </ns0:spPr>
    </ns0:pic>
    <ns0:clientData/>
  </ns0:twoCellAnchor>
  <ns0:twoCellAnchor editAs="oneCell">
    <ns0:from>
      <ns0:col>6</ns0:col>
      <ns0:colOff>488429</ns0:colOff>
      <ns0:row>40</ns0:row>
      <ns0:rowOff>111652</ns0:rowOff>
    </ns0:from>
    <ns0:to>
      <ns0:col>9</ns0:col>
      <ns0:colOff>14309</ns0:colOff>
      <ns0:row>44</ns0:row>
      <ns0:rowOff>90198</ns0:rowOff>
    </ns0:to>
    <ns0:pic>
      <ns0:nvPicPr>
        <ns0:cNvPr id="3" name="Demo">
          <ns1:extLst>
            <ns1:ext uri="{FF2B5EF4-FFF2-40B4-BE49-F238E27FC236}">
              <ns2:creationId id="{236B4BC7-F0FB-43DE-9F07-8E2A6E095A27}"/>
            </ns1:ext>
          </ns1:extLst>
        </ns0:cNvPr>
        <ns0:cNvPicPr>
          <ns1:picLocks noChangeAspect="1"/>
        </ns0:cNvPicPr>
      </ns0:nvPicPr>
      <ns0:blipFill>
        <ns1:blip ns3:embed="rId2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ns0:blipFill>
      <ns0:spPr>
        <ns1:xfrm>
          <ns1:off x="4803254" y="9674752"/>
          <ns1:ext cx="1354680" cy="873896"/>
        </ns1:xfrm>
        <ns1:prstGeom prst="rect">
          <ns1:avLst/>
        </ns1:prstGeom>
      </ns0:spPr>
    </ns0:pic>
    <ns0:clientData/>
  </ns0:twoCellAnchor>
</ns0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><Relationship Id="rId3" Type="http://schemas.openxmlformats.org/officeDocument/2006/relationships/drawing" Target="../drawings/s1-drawing1.xml" /></Relationships>
</file>

<file path=xl/worksheets/_rels/sheet3.xml.rels><?xml version='1.0' encoding='utf-8'?>
<Relationships xmlns="http://schemas.openxmlformats.org/package/2006/relationships"><Relationship Id="rId3" Type="http://schemas.openxmlformats.org/officeDocument/2006/relationships/drawing" Target="../drawings/s3-drawing1.xml" 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r="http://schemas.openxmlformats.org/officeDocument/2006/relationships" ns1:uid="{84394EA2-2B17-44AE-AF9D-93376CACC7C4}">
  <sheetPr>
    <tabColor rgb="FF92D050"/>
    <pageSetUpPr fitToPage="1"/>
  </sheetPr>
  <dimension ref="A1:K54"/>
  <sheetViews>
    <sheetView tabSelected="1" view="pageBreakPreview" topLeftCell="A13" zoomScale="80" zoomScaleNormal="100" zoomScaleSheetLayoutView="80" workbookViewId="0">
      <selection activeCell="C33" sqref="C33:E33"/>
    </sheetView>
  </sheetViews>
  <sheetFormatPr baseColWidth="10" defaultColWidth="8.83203125" defaultRowHeight="15" ns2:dyDescent="0.2"/>
  <cols>
    <col min="6" max="6" width="13" customWidth="1"/>
    <col min="9" max="10" width="8.83203125" customWidth="1"/>
    <col min="11" max="11" width="10.6640625" customWidth="1"/>
  </cols>
  <sheetData>
    <row r="1" spans="1:11" ns2:dyDescent="0.2">
      <c r="F1" s="31"/>
      <c r="G1" s="31"/>
      <c r="H1" s="31"/>
      <c r="I1" s="31"/>
      <c r="J1" s="31"/>
      <c r="K1" s="31"/>
    </row>
    <row r="2" spans="1:11" ns2:dyDescent="0.2">
      <c r="F2" s="31"/>
      <c r="G2" s="31"/>
      <c r="H2" s="31"/>
      <c r="I2" s="31"/>
      <c r="J2" s="31"/>
      <c r="K2" s="31"/>
    </row>
    <row r="3" spans="1:11" ns2:dyDescent="0.2">
      <c r="F3" s="17" t="str">
        <v>(наименование медицинской организации, код по ОГРН)</v>
      </c>
      <c r="G3" s="17"/>
      <c r="H3" s="17"/>
      <c r="I3" s="17"/>
      <c r="J3" s="17"/>
      <c r="K3" s="17"/>
    </row>
    <row r="4" spans="1:11" ns2:dyDescent="0.2">
      <c r="F4" s="27"/>
      <c r="G4" s="27"/>
      <c r="H4" s="27"/>
      <c r="I4" s="27"/>
      <c r="J4" s="27"/>
      <c r="K4" s="27"/>
    </row>
    <row r="5" spans="1:11" ns2:dyDescent="0.2">
      <c r="F5" t="str">
        <v>адрес:</v>
      </c>
      <c r="G5" s="32"/>
      <c r="H5" s="32"/>
      <c r="I5" s="32"/>
      <c r="J5" s="32"/>
      <c r="K5" t="str">
        <v>,</v>
      </c>
    </row>
    <row r="6" spans="1:11" ns2:dyDescent="0.2">
      <c r="F6" t="str">
        <v>телефон:</v>
      </c>
      <c r="G6" s="33"/>
      <c r="H6" s="33"/>
      <c r="I6" t="str">
        <v>, факс:</v>
      </c>
      <c r="J6" s="1"/>
      <c r="K6" t="str">
        <v>,</v>
      </c>
    </row>
    <row r="7" spans="1:11" ns2:dyDescent="0.2">
      <c r="F7" t="str">
        <v>адрес электронной почты:</v>
      </c>
      <c r="I7" s="31"/>
      <c r="J7" s="31"/>
      <c r="K7" s="31"/>
    </row>
    <row r="8" spans="1:11" ns2:dyDescent="0.2">
      <c r="F8" s="16" t="str"/>
      <c r="G8" s="16"/>
      <c r="H8" s="16"/>
      <c r="I8" s="16"/>
      <c r="J8" s="16"/>
      <c r="K8" s="16"/>
    </row>
    <row r="9" spans="1:11" ns2:dyDescent="0.2">
      <c r="G9" s="2" t="str">
        <v>от</v>
      </c>
      <c r="H9" s="34" t="str">
        <v>ООО «Ресурс Тест»</v>
      </c>
      <c r="I9" s="34"/>
      <c r="J9" s="34"/>
      <c r="K9" s="3"/>
    </row>
    <row r="10" spans="1:11" ns2:dyDescent="0.2">
      <c r="G10" s="4" t="str">
        <v>(наименование работодателя)</v>
      </c>
      <c r="H10" s="4"/>
      <c r="I10" s="4"/>
      <c r="J10" s="4"/>
      <c r="K10" s="4"/>
    </row>
    <row r="11" spans="1:11" ht="42.5" customHeight="1" ns2:dyDescent="0.2">
      <c r="G11" s="2" t="str">
        <v>адрес:</v>
      </c>
      <c r="H11" s="35" t="str">
        <v>000000, г. Примерный, ул. Учебная, д. 1</v>
      </c>
      <c r="I11" s="35"/>
      <c r="J11" s="35"/>
      <c r="K11" s="35"/>
    </row>
    <row r="12" spans="1:11" ns2:dyDescent="0.2">
      <c r="G12" s="2" t="str">
        <v>телефон:</v>
      </c>
      <c r="H12" s="36" t="str">
        <v>+0 (000) 000-00-00</v>
      </c>
      <c r="I12" s="36"/>
      <c r="J12" s="2" t="str">
        <v>, факс:</v>
      </c>
      <c r="K12" s="5" t="str">
        <v>-</v>
      </c>
    </row>
    <row r="13" spans="1:11" ns2:dyDescent="0.2">
      <c r="G13" s="2" t="str">
        <v>адрес электронной почты:</v>
      </c>
      <c r="H13" s="2"/>
      <c r="I13" s="2"/>
      <c r="J13" s="6"/>
      <c r="K13" s="6"/>
    </row>
    <row r="14" spans="1:11" ns2:dyDescent="0.2">
      <c r="G14" s="7" t="str">
        <v>demo@example.invalid</v>
      </c>
      <c r="H14" s="6"/>
      <c r="I14" s="6"/>
      <c r="J14" s="6"/>
      <c r="K14" s="6"/>
    </row>
    <row r="15" spans="1:11" ht="6.5" customHeight="1" ns2:dyDescent="0.2"/>
    <row r="16" spans="1:11" ns2:dyDescent="0.2">
      <c r="A16" s="26" t="str">
        <v>                              Направление 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ns2:dyDescent="0.2">
      <c r="A17" s="26" t="str">
        <v>на предварительный медицинский осмотр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 ns2:dyDescent="0.2">
      <c r="A18" s="26" t="str">
        <v>                        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ht="6.5" customHeight="1" ns2:dyDescent="0.2"/>
    <row r="20" spans="1:11" ns2:dyDescent="0.2">
      <c r="A20" s="19" t="str">
        <v>В  соответствии  с  п. п. 8, 9 Порядка  проведения  обязательных  предварительных  и  периодических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ns2:dyDescent="0.2">
      <c r="A21" s="27" t="str">
        <v>медицинских осмотров  работников, предусмотренных  частью четвертой статьи 213 Трудового кодекса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ns2:dyDescent="0.2">
      <c r="A22" s="19" t="str">
        <v>Российской   Федерации,  утвержденного   Приказом   Минздрава   России   от 28.01.2021 N 29н,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29" customHeight="1" ns2:dyDescent="0.2">
      <c r="A23" s="28" t="str">
        <v>Общество с ограниченной ответственностью «Ресурс Тест» ОГРН 0000000000000 ИНН 0000000000
ОКФС: 16 - Частная собственность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29" customHeight="1" ns2:dyDescent="0.2">
      <c r="A24" s="28" t="str">
        <v>ОКВЭД 00.00 — демонстрационный вид деятельности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1:11" ns2:dyDescent="0.2">
      <c r="A25" s="17" t="str">
        <v>(наименование работодателя; форма собственности и вид экономической деятельности работодателя по ОКВЭД)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ht="5.5" customHeight="1" ns2:dyDescent="0.2">
      <c r="A26" t="str">
        <v>                    </v>
      </c>
    </row>
    <row r="27" spans="1:11" ns2:dyDescent="0.2">
      <c r="A27" s="29" t="str">
        <v>направляет на предварительный медицинский осмотр: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ns2:dyDescent="0.2">
      <c r="A28" s="19" t="str">
        <v>   1. Фамилия,  имя,  отчество  лица, поступающего на  работу: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ns2:dyDescent="0.2">
      <c r="A29" s="30" t="str">
        <v>Примерный Пример Примерович</v>
      </c>
      <c r="B29" s="30"/>
      <c r="C29" s="30"/>
      <c r="D29" s="30"/>
      <c r="E29" s="30"/>
      <c r="F29" s="30"/>
      <c r="G29" s="30"/>
      <c r="H29" s="30"/>
      <c r="I29" s="30"/>
      <c r="J29" s="30"/>
      <c r="K29" t="str">
        <v>.</v>
      </c>
    </row>
    <row r="30" spans="1:11" ns2:dyDescent="0.2">
      <c r="A30" s="24" t="str">
        <v>   2. Дата рождения лица, поступающего на работу:</v>
      </c>
      <c r="B30" s="24"/>
      <c r="C30" s="24"/>
      <c r="D30" s="24"/>
      <c r="E30" s="24"/>
      <c r="F30" s="24"/>
      <c r="G30" s="24"/>
      <c r="H30" s="99" t="n">
        <v>32874</v>
      </c>
      <c r="I30" s="25"/>
      <c r="J30" s="25"/>
    </row>
    <row r="31" spans="1:11" ns2:dyDescent="0.2">
      <c r="A31" s="19" t="str">
        <v>   3. Пол лица, поступающего на работу:</v>
      </c>
      <c r="B31" s="19"/>
      <c r="C31" s="19"/>
      <c r="D31" s="19"/>
      <c r="E31" s="19"/>
      <c r="F31" s="19"/>
      <c r="G31" s="19"/>
      <c r="H31" s="23" t="str">
        <v>Мужской</v>
      </c>
      <c r="I31" s="23"/>
      <c r="J31" s="23"/>
    </row>
    <row r="32" spans="1:11" ns2:dyDescent="0.2">
      <c r="A32" s="19" t="str">
        <v>   4. Номер медицинского страхового полиса обязательного и (или) добровольного медицинского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1" ns2:dyDescent="0.2">
      <c r="A33" s="8" t="str">
        <v>  страхования</v>
      </c>
      <c r="B33" s="8"/>
      <c r="C33" s="20" t="str">
        <v>0000000000000000</v>
      </c>
      <c r="D33" s="20"/>
      <c r="E33" s="20"/>
      <c r="F33" s="8"/>
      <c r="G33" s="8"/>
      <c r="H33" s="8"/>
      <c r="I33" s="8"/>
      <c r="J33" s="8"/>
    </row>
    <row r="34" spans="1:11" ns2:dyDescent="0.2">
      <c r="A34" s="19" t="str">
        <v>   5. Наименование структурного подразделения работодателя  (при наличии), в  котором  будет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ns2:dyDescent="0.2">
      <c r="A35" s="19" t="str">
        <v>  занято  лицо,  поступающее  на  работу: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30.75" customHeight="1" ns2:dyDescent="0.2">
      <c r="A36" s="21" t="str">
        <v>Технологический комплекс</v>
      </c>
      <c r="B36" s="21"/>
      <c r="C36" s="21"/>
      <c r="D36" s="21"/>
      <c r="E36" s="21"/>
      <c r="F36" s="21"/>
      <c r="G36" s="21"/>
      <c r="H36" s="21"/>
      <c r="I36" s="21"/>
      <c r="J36" s="21"/>
      <c r="K36" t="str">
        <v>.</v>
      </c>
    </row>
    <row r="37" spans="1:11" s="9" customFormat="1" ht="46.5" customHeight="1" ns2:dyDescent="0.2">
      <c r="A37" s="9" t="str">
        <v>   6. Наименование должности (профессии) или вида работы:</v>
      </c>
      <c r="G37" s="21" t="str">
        <v>Мастер участка</v>
      </c>
      <c r="H37" s="21"/>
      <c r="I37" s="21"/>
      <c r="J37" s="21"/>
      <c r="K37" t="str">
        <v>.</v>
      </c>
    </row>
    <row r="38" spans="1:11" ns2:dyDescent="0.2">
      <c r="A38" s="19" t="str">
        <v>   7. Вредные и (или) опасные производственные факторы, а также вид работы в соответствии с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ns2:dyDescent="0.2">
      <c r="A39" s="19" t="str">
        <v>утвержденным  работодателем   контингентом  работников, подлежащих предварительным осмотрам: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ns2:dyDescent="0.2">
      <c r="A40" s="22" t="str">
        <f>IFERROR(VLOOKUP(A36&amp;"|"&amp;G37,'Конт МО'!$A$4:$D$23,4,FALSE),"Выберите подразделение и должность")</f>
        <v>п. 3.1.3; п. 4.3.2; п. 5.1п. 11.4; п.18.2; </v>
      </c>
      <c r="B40" s="22"/>
      <c r="C40" s="22"/>
      <c r="D40" s="22"/>
      <c r="E40" s="22"/>
      <c r="F40" s="22"/>
      <c r="G40" s="22"/>
      <c r="H40" s="22"/>
      <c r="I40" s="22"/>
      <c r="J40" s="22"/>
      <c r="K40" t="str">
        <v>.</v>
      </c>
    </row>
    <row r="42" spans="1:11" ns2:dyDescent="0.2">
      <c r="A42" s="100" t="n">
        <f>TODAY()</f>
        <v>46311</v>
      </c>
      <c r="B42" s="18"/>
      <c r="C42" s="18"/>
    </row>
    <row r="44" spans="1:11" ns2:dyDescent="0.2">
      <c r="A44" s="15" t="str">
        <v>Специалист по подбору персонала</v>
      </c>
      <c r="B44" s="15"/>
      <c r="C44" s="15"/>
      <c r="D44" s="15"/>
      <c r="E44" s="15"/>
      <c r="F44" s="15"/>
      <c r="G44" s="16"/>
      <c r="H44" s="16"/>
      <c r="I44" s="15" t="str">
        <v>Примеров П.П.</v>
      </c>
      <c r="J44" s="15"/>
      <c r="K44" s="15"/>
    </row>
    <row r="45" spans="1:11" s="10" customFormat="1" ht="12" ns2:dyDescent="0.15">
      <c r="A45" s="17" t="str">
        <v>(должность уполномоченного представителя работодателя)</v>
      </c>
      <c r="B45" s="17"/>
      <c r="C45" s="17"/>
      <c r="D45" s="17"/>
      <c r="E45" s="17"/>
      <c r="F45" s="17"/>
      <c r="G45" s="17" t="str">
        <v>(подпись)</v>
      </c>
      <c r="H45" s="17"/>
      <c r="I45" s="17" t="str">
        <v>(Ф.И.О)</v>
      </c>
      <c r="J45" s="17"/>
      <c r="K45" s="17"/>
    </row>
    <row r="46" spans="1:11" s="10" customFormat="1" ht="12" ns2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s="10" customFormat="1" ht="12" ns2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ns2:dyDescent="0.2">
      <c r="A48" t="str">
        <v>--------------------------------</v>
      </c>
    </row>
    <row r="49" spans="1:11" ns2:dyDescent="0.2">
      <c r="A49" t="str">
        <v>Информация для сведения:</v>
      </c>
    </row>
    <row r="50" spans="1:11" ht="45.75" customHeight="1" ns2:dyDescent="0.2">
      <c r="A50" s="12" t="str">
        <v>&lt;1&gt; Согласно п. 9 Порядка проведения обязательных предварительных и периодических медицинских осмотров работников, предусмотренных частью четвертой статьи 213 Трудового кодекса Российской Федерации, утвержденного Приказом Минздрава России от 28.01.2021 N 29н, направление выдается лицу, поступающему на работу, под подпись. Направление может быть сформировано в электронном виде с использованием электронных подписей работодателя и лица, поступающего на работу.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ns2:dyDescent="0.2">
      <c r="A51" s="12" t="str">
        <v>Работодатель (его представитель) обязан организовать учет выданных направлений, в том числе в электронном виде.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33" customHeight="1" ns2:dyDescent="0.2">
      <c r="A52" s="12" t="str">
        <v>&lt;2&gt; Перечни медицинских противопоказаний к осуществлению работ с вредными и (или) опасными производственными факторами, а также работ, при выполнении которых проводятся обязательные предварительные и периодические медицинские осмотры, утверждены Приказом Минздрава России от 28.01.2021 N 29н.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67.25" customHeight="1" ns2:dyDescent="0.2">
      <c r="A53" s="13" t="str">
        <v>В случае предоставления работником поддельного медицинского заключения, наступает уголовная ответственность по ст. 327 УК РФ, с последующим увольнением. Важно, что при прохождении МО работник должен лично присутствовать в лечебном учреждении и производить оплату только в кассе данного учреждения!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ns2:dyDescent="0.2">
      <c r="A54" s="14" t="str">
        <v>Ознакомлен:</v>
      </c>
      <c r="B54" s="14"/>
      <c r="E54" s="14" t="str">
        <v>Подпись:</v>
      </c>
      <c r="F54" s="14"/>
    </row>
  </sheetData>
  <dataConsolidate/>
  <mergeCells count="49">
    <mergeCell ref="A16:K16"/>
    <mergeCell ref="F1:K1"/>
    <mergeCell ref="F2:K2"/>
    <mergeCell ref="F3:K3"/>
    <mergeCell ref="F4:K4"/>
    <mergeCell ref="G5:J5"/>
    <mergeCell ref="G6:H6"/>
    <mergeCell ref="I7:K7"/>
    <mergeCell ref="F8:K8"/>
    <mergeCell ref="H9:J9"/>
    <mergeCell ref="H11:K11"/>
    <mergeCell ref="H12:I12"/>
    <mergeCell ref="A30:G30"/>
    <mergeCell ref="H30:J30"/>
    <mergeCell ref="A17:K17"/>
    <mergeCell ref="A18:K18"/>
    <mergeCell ref="A20:K20"/>
    <mergeCell ref="A21:K21"/>
    <mergeCell ref="A22:K22"/>
    <mergeCell ref="A23:K23"/>
    <mergeCell ref="A24:K24"/>
    <mergeCell ref="A25:K25"/>
    <mergeCell ref="A27:K27"/>
    <mergeCell ref="A28:K28"/>
    <mergeCell ref="A29:J29"/>
    <mergeCell ref="A42:C42"/>
    <mergeCell ref="A31:G31"/>
    <mergeCell ref="A32:J32"/>
    <mergeCell ref="C33:E33"/>
    <mergeCell ref="A34:K34"/>
    <mergeCell ref="A35:K35"/>
    <mergeCell ref="A36:J36"/>
    <mergeCell ref="A38:K38"/>
    <mergeCell ref="A39:K39"/>
    <mergeCell ref="A40:J40"/>
    <mergeCell ref="G37:J37"/>
    <mergeCell ref="H31:J31"/>
    <mergeCell ref="A44:F44"/>
    <mergeCell ref="G44:H44"/>
    <mergeCell ref="I44:K44"/>
    <mergeCell ref="A45:F45"/>
    <mergeCell ref="G45:H45"/>
    <mergeCell ref="I45:K45"/>
    <mergeCell ref="A50:K50"/>
    <mergeCell ref="A51:K51"/>
    <mergeCell ref="A52:K52"/>
    <mergeCell ref="A53:K53"/>
    <mergeCell ref="A54:B54"/>
    <mergeCell ref="E54:F54"/>
  </mergeCells>
  <dataValidations count="3">
    <dataValidation type="list" allowBlank="1" showErrorMessage="1" sqref="A36:J36">
      <formula1>Подразделения</formula1>
    </dataValidation>
    <dataValidation type="list" allowBlank="1" showErrorMessage="1" sqref="G37:J37">
      <formula1>Должности</formula1>
    </dataValidation>
    <dataValidation type="list" allowBlank="1" showErrorMessage="1" sqref="H31:J31">
      <formula1>"Мужской,Женский"</formula1>
    </dataValidation>
  </dataValidations>
  <pageMargins left="0.7" right="0.7" top="0.75" bottom="0.75" header="0.3" footer="0.3"/>
  <pageSetup paperSize="9" fitToHeight="1" orientation="portrait" fitToWidth="1"/>
  <drawing r:id="rId3"/>
</worksheet>
</file>

<file path=xl/worksheets/sheet2.xml><?xml version="1.0" encoding="utf-8"?>
<worksheet xmlns="http://schemas.openxmlformats.org/spreadsheetml/2006/main">
  <sheetPr>
    <pageSetUpPr fitToPage="1"/>
  </sheetPr>
  <dimension ref="A1:F23"/>
  <sheetViews>
    <sheetView showGridLines="0" workbookViewId="0">
      <pane ySplit="3" topLeftCell="A4" activePane="bottomLeft" state="frozen"/>
    </sheetView>
  </sheetViews>
  <sheetFormatPr defaultRowHeight="15"/>
  <cols>
    <col min="1" max="1" width="6" hidden="1" customWidth="1"/>
    <col min="2" max="2" width="42" hidden="0" customWidth="1"/>
    <col min="3" max="3" width="37" hidden="0" customWidth="1"/>
    <col min="4" max="4" width="95" hidden="0" customWidth="1"/>
    <col min="5" max="5" width="3" customWidth="1"/>
    <col min="6" max="6" width="48" customWidth="1"/>
  </cols>
  <sheetData>
    <row r="1" ht="28" customHeight="1">
      <c r="A1" s="39"/>
      <c r="B1" s="39" t="str">
        <v>ООО «Ресурс Тест» (РТ) — демонстрационные контингенты</v>
      </c>
      <c r="C1" s="38"/>
      <c r="D1" s="38"/>
    </row>
    <row r="2" ht="25" customHeight="1">
      <c r="A2" s="40"/>
      <c r="B2" s="40" t="str">
        <v>Связи должностей с требованиями условные. Данные для демонстрации.</v>
      </c>
      <c r="C2" s="38"/>
      <c r="D2" s="38"/>
    </row>
    <row r="3" ht="36" customHeight="1">
      <c r="A3" s="45" t="str">
        <v>Ключ: подразделение + должность</v>
      </c>
      <c r="B3" s="45" t="str">
        <v>Структурное подразделение</v>
      </c>
      <c r="C3" s="45" t="str">
        <v>Должность</v>
      </c>
      <c r="D3" s="45" t="str">
        <v>Вредные и (или) опасные производственные факторы</v>
      </c>
      <c r="F3" t="str">
        <v>Подразделения</v>
      </c>
    </row>
    <row r="4" ht="54" customHeight="1">
      <c r="A4" s="48" t="str">
        <f>B4&amp;"|"&amp;C4</f>
        <v>Технологический комплекс|Оператор производственной линии</v>
      </c>
      <c r="B4" s="48" t="str">
        <v>Технологический комплекс</v>
      </c>
      <c r="C4" s="48" t="str">
        <v>Оператор производственной линии</v>
      </c>
      <c r="D4" s="48" t="str">
        <v>п. 11.4.</v>
      </c>
      <c r="F4" t="str">
        <v>Технологический комплекс</v>
      </c>
    </row>
    <row r="5" ht="54" customHeight="1">
      <c r="A5" s="48" t="str">
        <f>B5&amp;"|"&amp;C5</f>
        <v>Технологический комплекс|Аппаратчик</v>
      </c>
      <c r="B5" s="48" t="str">
        <v>Технологический комплекс</v>
      </c>
      <c r="C5" s="48" t="str">
        <v>Аппаратчик</v>
      </c>
      <c r="D5" s="48" t="str">
        <v>п. 3.1.3, п.11.4,, 18.2 </v>
      </c>
      <c r="F5" t="str">
        <v>Горнодобывающий комплекс</v>
      </c>
    </row>
    <row r="6" ht="54" customHeight="1">
      <c r="A6" s="48" t="str">
        <f>B6&amp;"|"&amp;C6</f>
        <v>Технологический комплекс|Мастер участка</v>
      </c>
      <c r="B6" s="48" t="str">
        <v>Технологический комплекс</v>
      </c>
      <c r="C6" s="48" t="str">
        <v>Мастер участка</v>
      </c>
      <c r="D6" s="48" t="str">
        <v>п. 3.1.3; п. 4.3.2; п. 5.1п. 11.4; п.18.2; </v>
      </c>
      <c r="F6" t="str">
        <v>Служба обслуживания и ремонта оборудования</v>
      </c>
    </row>
    <row r="7" ht="54" customHeight="1">
      <c r="A7" s="48" t="str">
        <f>B7&amp;"|"&amp;C7</f>
        <v>Технологический комплекс|Технолог</v>
      </c>
      <c r="B7" s="48" t="str">
        <v>Технологический комплекс</v>
      </c>
      <c r="C7" s="48" t="str">
        <v>Технолог</v>
      </c>
      <c r="D7" s="48" t="str">
        <v>п. 3.1.3; п. 11.4.</v>
      </c>
      <c r="F7" t="str">
        <v>Автотранспортный участок</v>
      </c>
    </row>
    <row r="8" ht="54" customHeight="1">
      <c r="A8" s="47" t="str">
        <f>B8&amp;"|"&amp;C8</f>
        <v>Горнодобывающий комплекс|Машинист экскаватора</v>
      </c>
      <c r="B8" s="47" t="str">
        <v>Горнодобывающий комплекс</v>
      </c>
      <c r="C8" s="47" t="str">
        <v>Машинист экскаватора</v>
      </c>
      <c r="D8" s="47" t="str">
        <v>п. 3.1.3; п. 4.4; п. 5.1; п.11.4</v>
      </c>
      <c r="F8" t="str">
        <v>Служба по работе с персоналом</v>
      </c>
    </row>
    <row r="9" ht="54" customHeight="1">
      <c r="A9" s="47" t="str">
        <f>B9&amp;"|"&amp;C9</f>
        <v>Горнодобывающий комплекс|Машинист бульдозера</v>
      </c>
      <c r="B9" s="47" t="str">
        <v>Горнодобывающий комплекс</v>
      </c>
      <c r="C9" s="47" t="str">
        <v>Машинист бульдозера</v>
      </c>
      <c r="D9" s="47" t="str">
        <v>п. 1.43.1; п. 4.4; п. 5.1; п. 11.4; п. 6.2</v>
      </c>
    </row>
    <row r="10" ht="54" customHeight="1">
      <c r="A10" s="47" t="str">
        <f>B10&amp;"|"&amp;C10</f>
        <v>Горнодобывающий комплекс|Горный мастер</v>
      </c>
      <c r="B10" s="47" t="str">
        <v>Горнодобывающий комплекс</v>
      </c>
      <c r="C10" s="47" t="str">
        <v>Горный мастер</v>
      </c>
      <c r="D10" s="47" t="str">
        <v>п. 3.1.3; п. 4.4; п. 5.1; п. 6.2; п. 11.4.</v>
      </c>
    </row>
    <row r="11" ht="54" customHeight="1">
      <c r="A11" s="47" t="str">
        <f>B11&amp;"|"&amp;C11</f>
        <v>Горнодобывающий комплекс|Инженер</v>
      </c>
      <c r="B11" s="47" t="str">
        <v>Горнодобывающий комплекс</v>
      </c>
      <c r="C11" s="47" t="str">
        <v>Инженер</v>
      </c>
      <c r="D11" s="47" t="str">
        <v>п. 3.1.9.2; п. 4.4; п. 5.1; п. 6.2; п. 9; п. 11.4; п. 6.2</v>
      </c>
    </row>
    <row r="12" ht="54" customHeight="1">
      <c r="A12" s="48" t="str">
        <f>B12&amp;"|"&amp;C12</f>
        <v>Служба обслуживания и ремонта оборудования|Слесарь-ремонтник</v>
      </c>
      <c r="B12" s="48" t="str">
        <v>Служба обслуживания и ремонта оборудования</v>
      </c>
      <c r="C12" s="48" t="str">
        <v>Слесарь-ремонтник</v>
      </c>
      <c r="D12" s="48" t="str">
        <v>п. 3.1.9.2; п. 4.4; п. 5.1; п. 9; п. 11.4; п. 6.2</v>
      </c>
    </row>
    <row r="13" ht="54" customHeight="1">
      <c r="A13" s="48" t="str">
        <f>B13&amp;"|"&amp;C13</f>
        <v>Служба обслуживания и ремонта оборудования|Электромонтёр</v>
      </c>
      <c r="B13" s="48" t="str">
        <v>Служба обслуживания и ремонта оборудования</v>
      </c>
      <c r="C13" s="48" t="str">
        <v>Электромонтёр</v>
      </c>
      <c r="D13" s="48" t="str">
        <v>п. 3.1.3; п. 4.4; п. 11.4; п.18.1</v>
      </c>
    </row>
    <row r="14" ht="54" customHeight="1">
      <c r="A14" s="48" t="str">
        <f>B14&amp;"|"&amp;C14</f>
        <v>Служба обслуживания и ремонта оборудования|Механик</v>
      </c>
      <c r="B14" s="48" t="str">
        <v>Служба обслуживания и ремонта оборудования</v>
      </c>
      <c r="C14" s="48" t="str">
        <v>Механик</v>
      </c>
      <c r="D14" s="48" t="str">
        <v> п. 11.4; </v>
      </c>
    </row>
    <row r="15" ht="54" customHeight="1">
      <c r="A15" s="48" t="str">
        <f>B15&amp;"|"&amp;C15</f>
        <v>Служба обслуживания и ремонта оборудования|Мастер по ремонту оборудования</v>
      </c>
      <c r="B15" s="48" t="str">
        <v>Служба обслуживания и ремонта оборудования</v>
      </c>
      <c r="C15" s="48" t="str">
        <v>Мастер по ремонту оборудования</v>
      </c>
      <c r="D15" s="48" t="str">
        <v>п. 1.1; п. 1.43.1; п.11.4</v>
      </c>
    </row>
    <row r="16" ht="54" customHeight="1">
      <c r="A16" s="47" t="str">
        <f>B16&amp;"|"&amp;C16</f>
        <v>Автотранспортный участок|Водитель автомобиля</v>
      </c>
      <c r="B16" s="47" t="str">
        <v>Автотранспортный участок</v>
      </c>
      <c r="C16" s="47" t="str">
        <v>Водитель автомобиля</v>
      </c>
      <c r="D16" s="47" t="str">
        <v>п. 3.1.3; п. 4.4; п. 5.1;  п. 11.4; п. 6.2</v>
      </c>
    </row>
    <row r="17" ht="54" customHeight="1">
      <c r="A17" s="47" t="str">
        <f>B17&amp;"|"&amp;C17</f>
        <v>Автотранспортный участок|Водитель автобуса</v>
      </c>
      <c r="B17" s="47" t="str">
        <v>Автотранспортный участок</v>
      </c>
      <c r="C17" s="47" t="str">
        <v>Водитель автобуса</v>
      </c>
      <c r="D17" s="47" t="str">
        <v>п. 3.1.3; п. 4.4; п. 5.1; п. 9; п. 11.4; п. 6.2</v>
      </c>
    </row>
    <row r="18" ht="54" customHeight="1">
      <c r="A18" s="47" t="str">
        <f>B18&amp;"|"&amp;C18</f>
        <v>Автотранспортный участок|Диспетчер</v>
      </c>
      <c r="B18" s="47" t="str">
        <v>Автотранспортный участок</v>
      </c>
      <c r="C18" s="47" t="str">
        <v>Диспетчер</v>
      </c>
      <c r="D18" s="47" t="str">
        <v>п.1.51.2, п. 4.4; ; п. 11.4; </v>
      </c>
    </row>
    <row r="19" ht="54" customHeight="1">
      <c r="A19" s="47" t="str">
        <f>B19&amp;"|"&amp;C19</f>
        <v>Автотранспортный участок|Механик автотранспорта</v>
      </c>
      <c r="B19" s="47" t="str">
        <v>Автотранспортный участок</v>
      </c>
      <c r="C19" s="47" t="str">
        <v>Механик автотранспорта</v>
      </c>
      <c r="D19" s="47" t="str">
        <v>п. 3.1.3; п. 4.3.2; п. 4.4; п. 11.4; п. 18.2; </v>
      </c>
    </row>
    <row r="20" ht="54" customHeight="1">
      <c r="A20" s="48" t="str">
        <f>B20&amp;"|"&amp;C20</f>
        <v>Служба по работе с персоналом|Специалист по подбору персонала</v>
      </c>
      <c r="B20" s="48" t="str">
        <v>Служба по работе с персоналом</v>
      </c>
      <c r="C20" s="48" t="str">
        <v>Специалист по подбору персонала</v>
      </c>
      <c r="D20" s="48" t="str">
        <v>п. 3.1.3; п. 4.3.2; ; п. 11.4; п. 18.2; </v>
      </c>
    </row>
    <row r="21" ht="54" customHeight="1">
      <c r="A21" s="48" t="str">
        <f>B21&amp;"|"&amp;C21</f>
        <v>Служба по работе с персоналом|Специалист по кадрам</v>
      </c>
      <c r="B21" s="48" t="str">
        <v>Служба по работе с персоналом</v>
      </c>
      <c r="C21" s="48" t="str">
        <v>Специалист по кадрам</v>
      </c>
      <c r="D21" s="48" t="str">
        <v>п. 4.4; п. 5.1; п.11.4; п. 15; п. 6.2</v>
      </c>
    </row>
    <row r="22" ht="54" customHeight="1">
      <c r="A22" s="48" t="str">
        <f>B22&amp;"|"&amp;C22</f>
        <v>Служба по работе с персоналом|Специалист по обучению</v>
      </c>
      <c r="B22" s="48" t="str">
        <v>Служба по работе с персоналом</v>
      </c>
      <c r="C22" s="48" t="str">
        <v>Специалист по обучению</v>
      </c>
      <c r="D22" s="48" t="str">
        <v>п. 1.17; п. 1.39; п. 1.50; п. 4.4; п. 5.1; п.11.4; п. 15; п. 6.2</v>
      </c>
    </row>
    <row r="23" ht="54" customHeight="1">
      <c r="A23" s="48" t="str">
        <f>B23&amp;"|"&amp;C23</f>
        <v>Служба по работе с персоналом|Руководитель службы</v>
      </c>
      <c r="B23" s="48" t="str">
        <v>Служба по работе с персоналом</v>
      </c>
      <c r="C23" s="48" t="str">
        <v>Руководитель службы</v>
      </c>
      <c r="D23" s="48" t="str">
        <v>п. 5.1; п. 11.4; п. 6.2</v>
      </c>
    </row>
  </sheetData>
  <pageMargins left="0.7" right="0.7" top="0.75" bottom="0.75" header="0.3" footer="0.3"/>
  <pageSetup orientation="landscape" paperSize="8" fitToWidth="1" fitToHeight="1"/>
</worksheet>
</file>

<file path=xl/worksheets/sheet3.xml><?xml version="1.0" encoding="utf-8"?>
<worksheet xmlns="http://schemas.openxmlformats.org/spreadsheetml/2006/main" xmlns:ns1="http://schemas.microsoft.com/office/spreadsheetml/2014/revision" xmlns:ns2="http://schemas.microsoft.com/office/spreadsheetml/2009/9/ac" xmlns:r="http://schemas.openxmlformats.org/officeDocument/2006/relationships" ns1:uid="{B18E243E-2E3C-46F1-8A5A-0B03CE442C1C}">
  <sheetPr>
    <tabColor rgb="FF92D050"/>
    <pageSetUpPr fitToPage="1"/>
  </sheetPr>
  <dimension ref="A1:K51"/>
  <sheetViews>
    <sheetView tabSelected="1" view="pageBreakPreview" zoomScale="80" zoomScaleNormal="100" zoomScaleSheetLayoutView="80" workbookViewId="0">
      <selection activeCell="A27" sqref="A27:K27"/>
    </sheetView>
  </sheetViews>
  <sheetFormatPr baseColWidth="10" defaultColWidth="8.83203125" defaultRowHeight="15" ns2:dyDescent="0.2"/>
  <cols>
    <col min="2" max="2" width="18.5" customWidth="1"/>
    <col min="9" max="10" width="8.83203125" customWidth="1"/>
    <col min="11" max="11" width="3.83203125" customWidth="1"/>
  </cols>
  <sheetData>
    <row r="1" spans="6:11" ns2:dyDescent="0.2">
      <c r="F1" s="77"/>
      <c r="G1" s="77"/>
      <c r="H1" s="77"/>
      <c r="I1" s="77"/>
      <c r="J1" s="77"/>
      <c r="K1" s="77"/>
    </row>
    <row r="2" spans="6:11" ns2:dyDescent="0.2">
      <c r="F2" s="85"/>
      <c r="G2" s="85"/>
      <c r="H2" s="85"/>
      <c r="I2" s="85"/>
      <c r="J2" s="85"/>
      <c r="K2" s="85"/>
    </row>
    <row r="3" spans="6:11" ns2:dyDescent="0.2">
      <c r="F3" s="61" t="str">
        <v>(наименование медицинской организации, код по ОГРН)</v>
      </c>
      <c r="G3" s="61"/>
      <c r="H3" s="61"/>
      <c r="I3" s="61"/>
      <c r="J3" s="61"/>
      <c r="K3" s="61"/>
    </row>
    <row r="4" spans="6:11" ns2:dyDescent="0.2">
      <c r="F4" s="79"/>
      <c r="G4" s="79"/>
      <c r="H4" s="79"/>
      <c r="I4" s="79"/>
      <c r="J4" s="79"/>
      <c r="K4" s="79"/>
    </row>
    <row r="5" spans="6:11" ns2:dyDescent="0.2">
      <c r="F5" t="str">
        <v>адрес:</v>
      </c>
      <c r="G5" s="86"/>
      <c r="H5" s="86"/>
      <c r="I5" s="86"/>
      <c r="J5" s="86"/>
      <c r="K5" t="str">
        <v>,</v>
      </c>
    </row>
    <row r="6" spans="6:11" ns2:dyDescent="0.2">
      <c r="F6" t="str">
        <v>телефон:</v>
      </c>
      <c r="G6" s="84"/>
      <c r="H6" s="84"/>
      <c r="I6" t="str">
        <v>, факс:</v>
      </c>
      <c r="J6" s="50"/>
      <c r="K6" t="str">
        <v>,</v>
      </c>
    </row>
    <row r="7" spans="6:11" ns2:dyDescent="0.2">
      <c r="F7" t="str">
        <v>адрес электронной почты:</v>
      </c>
      <c r="I7" s="77"/>
      <c r="J7" s="77"/>
      <c r="K7" s="77"/>
    </row>
    <row r="8" spans="6:11" ns2:dyDescent="0.2">
      <c r="F8" s="64" t="str"/>
      <c r="G8" s="64"/>
      <c r="H8" s="64"/>
      <c r="I8" s="64"/>
      <c r="J8" s="64"/>
      <c r="K8" s="64"/>
    </row>
    <row r="9" spans="6:11" ns2:dyDescent="0.2">
      <c r="G9" s="51" t="str">
        <v>от</v>
      </c>
      <c r="H9" s="78" t="str">
        <v>ООО «Ресурс Тест»</v>
      </c>
      <c r="I9" s="78"/>
      <c r="J9" s="78"/>
      <c r="K9" s="52"/>
    </row>
    <row r="10" spans="6:11" ns2:dyDescent="0.2">
      <c r="F10" s="79" t="str">
        <v>ОГРН 0000000000000 ИНН 0000000000</v>
      </c>
      <c r="G10" s="79"/>
      <c r="H10" s="79"/>
      <c r="I10" s="79"/>
      <c r="J10" s="79"/>
      <c r="K10" s="52"/>
    </row>
    <row r="11" spans="6:11" ns2:dyDescent="0.2">
      <c r="G11" s="53" t="str">
        <v>(наименование работодателя)</v>
      </c>
      <c r="H11" s="53"/>
      <c r="I11" s="53"/>
      <c r="J11" s="53"/>
      <c r="K11" s="53"/>
    </row>
    <row r="12" spans="6:11" ht="42.5" customHeight="1" ns2:dyDescent="0.2">
      <c r="G12" s="51" t="str">
        <v>адрес:</v>
      </c>
      <c r="H12" s="80" t="str">
        <v>000000, г. Примерный, ул. Учебная, д. 1</v>
      </c>
      <c r="I12" s="80"/>
      <c r="J12" s="80"/>
      <c r="K12" s="80"/>
    </row>
    <row r="13" spans="6:11" ns2:dyDescent="0.2">
      <c r="G13" s="51" t="str">
        <v>телефон:</v>
      </c>
      <c r="H13" s="81" t="str">
        <v>+0 (000) 000-00-00</v>
      </c>
      <c r="I13" s="81"/>
      <c r="J13" s="51" t="str">
        <v>, факс:</v>
      </c>
      <c r="K13" s="54" t="str">
        <v>-</v>
      </c>
    </row>
    <row r="14" spans="6:11" ns2:dyDescent="0.2">
      <c r="G14" s="51" t="str">
        <v>адрес электронной почты:</v>
      </c>
      <c r="H14" s="51"/>
      <c r="I14" s="51"/>
      <c r="J14" s="55"/>
      <c r="K14" s="55"/>
    </row>
    <row r="15" spans="6:11" ns2:dyDescent="0.2">
      <c r="G15" s="56" t="str">
        <v>demo@example.invalid</v>
      </c>
      <c r="H15" s="55"/>
      <c r="I15" s="55"/>
      <c r="J15" s="55"/>
      <c r="K15" s="55"/>
    </row>
    <row r="16" spans="6:11" ht="6.5" customHeight="1" ns2:dyDescent="0.2"/>
    <row r="17" spans="1:11" ns2:dyDescent="0.2">
      <c r="A17" s="82" t="str">
        <v>                              Направление 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</row>
    <row r="18" spans="1:11" ns2:dyDescent="0.2">
      <c r="A18" s="82" t="str">
        <v>                   на психиатрическое освидетельствование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</row>
    <row r="19" spans="1:11" ns2:dyDescent="0.2">
      <c r="A19" s="82" t="str">
        <v>                       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</row>
    <row r="21" spans="1:11" ht="30" customHeight="1" ns2:dyDescent="0.2">
      <c r="A21" s="83" t="str">
        <v>В соответствии статьи 220 Трудового кодекса Российской Федерации, приказа Министерства здравоохранения РФ от 20 мая 2022 № 342н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</row>
    <row r="22" spans="1:11" ht="29" customHeight="1" ns2:dyDescent="0.2">
      <c r="A22" s="76" t="str">
        <f>"Общество с ограниченной ответственностью «Ресурс Тест»"&amp;CHAR(10)&amp;"ОКФС: 16 - Частная собственность"</f>
        <v>Общество с ограниченной ответственностью «Ресурс Тест»
ОКФС: 16 - Частная собственность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29" customHeight="1" ns2:dyDescent="0.2">
      <c r="A23" s="76" t="str">
        <v>ОКВЭД 00.00 — демонстрационный вид деятельности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</row>
    <row r="24" spans="1:11" ns2:dyDescent="0.2">
      <c r="A24" s="61" t="str">
        <v>(наименование работодателя; форма собственности и вид экономической деятельности работодателя по ОКВЭД)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</row>
    <row r="25" spans="1:11" ns2:dyDescent="0.2">
      <c r="A25" t="str">
        <v>                    </v>
      </c>
    </row>
    <row r="26" spans="1:11" ns2:dyDescent="0.2">
      <c r="A26" s="65" t="str">
        <v>направляет на психиатрическое освидетельствование: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</row>
    <row r="27" spans="1:11" ns2:dyDescent="0.2">
      <c r="A27" s="65" t="str">
        <v>   1. Фамилия,  имя,  отчество  лица, поступающего на  работу: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</row>
    <row r="28" spans="1:11" ns2:dyDescent="0.2">
      <c r="A28" s="67" t="str">
        <f>'Направления_на_МО'!A29</f>
        <v>Примерный Пример Примерович</v>
      </c>
      <c r="B28" s="67"/>
      <c r="C28" s="67"/>
      <c r="D28" s="67"/>
      <c r="E28" s="67"/>
      <c r="F28" s="67"/>
      <c r="G28" s="67"/>
      <c r="H28" s="67"/>
      <c r="I28" s="67"/>
      <c r="J28" s="67"/>
    </row>
    <row r="29" spans="1:11" ns2:dyDescent="0.2">
      <c r="A29" s="74" t="str">
        <v>   2. Дата рождения лица, поступающего на работу:</v>
      </c>
      <c r="B29" s="74"/>
      <c r="C29" s="74"/>
      <c r="D29" s="74"/>
      <c r="E29" s="74"/>
      <c r="F29" s="74"/>
      <c r="G29" s="74"/>
      <c r="H29" s="101" t="n">
        <f>'Направления_на_МО'!H30</f>
        <v>32874</v>
      </c>
      <c r="I29" s="75"/>
      <c r="J29" s="75"/>
    </row>
    <row r="30" spans="1:11" ns2:dyDescent="0.2">
      <c r="A30" s="65" t="str">
        <v>   3. Пол лица, поступающего на работу:</v>
      </c>
      <c r="B30" s="65"/>
      <c r="C30" s="65"/>
      <c r="D30" s="65"/>
      <c r="E30" s="65"/>
      <c r="F30" s="65"/>
      <c r="G30" s="65"/>
      <c r="H30" s="66" t="str">
        <f>'Направления_на_МО'!H31</f>
        <v>Мужской</v>
      </c>
      <c r="I30" s="66"/>
      <c r="J30" s="66"/>
    </row>
    <row r="31" spans="1:11" ns2:dyDescent="0.2">
      <c r="A31" t="str">
        <v>   4. Зарегестрированный (ая) по адресу:</v>
      </c>
      <c r="F31" s="67" t="str">
        <v>по месту регистрации</v>
      </c>
      <c r="G31" s="67"/>
      <c r="H31" s="67"/>
      <c r="I31" s="67"/>
      <c r="J31" s="67"/>
    </row>
    <row r="32" spans="1:11" ns2:dyDescent="0.2">
      <c r="A32" s="65" t="str">
        <v>   5. Наименование структурного подразделения работодателя  (при наличии), в  котором  работник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</row>
    <row r="33" spans="1:11" ns2:dyDescent="0.2">
      <c r="A33" s="65" t="str">
        <v>  будет осуществлять отдельный вид (виды) деятельности: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</row>
    <row r="34" spans="1:11" ns2:dyDescent="0.2">
      <c r="A34" s="67" t="str">
        <f>'Направления_на_МО'!A36</f>
        <v>Технологический комплекс</v>
      </c>
      <c r="B34" s="67"/>
      <c r="C34" s="67"/>
      <c r="D34" s="67"/>
      <c r="E34" s="67"/>
      <c r="F34" s="67"/>
      <c r="G34" s="68"/>
      <c r="H34" s="68"/>
      <c r="I34" s="68"/>
      <c r="J34" s="68"/>
    </row>
    <row r="35" spans="1:11" s="8" customFormat="1" ht="45" customHeight="1" ns2:dyDescent="0.2">
      <c r="A35" s="57" t="str">
        <v>   6. Наименование должности (профессии) или вида работы:</v>
      </c>
      <c r="G35" s="69" t="str">
        <f>'Направления_на_МО'!G37</f>
        <v>Мастер участка</v>
      </c>
      <c r="H35" s="69"/>
      <c r="I35" s="69"/>
      <c r="J35" s="69"/>
      <c r="K35"/>
    </row>
    <row r="36" spans="1:11" ns2:dyDescent="0.2">
      <c r="A36" s="70" t="str">
        <v>   7. Вид (виды) деятельности, осуществляемый работником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</row>
    <row r="37" spans="1:11" ht="63" customHeight="1" ns2:dyDescent="0.2">
      <c r="A37" s="71" t="str">
        <f>IFERROR(SUBSTITUTE(SUBSTITUTE(VLOOKUP(A34&amp;"|"&amp;G35,'Конт ПО'!$A$4:$D$23,4,FALSE),CHAR(10),""),")Деятельность",")"&amp;CHAR(10)&amp;"Деятельность"),"Выберите подразделение и должность")</f>
        <v>Деятельность, связанная с производством, хранением и применением взрывчатых материалов и веществ (п.2 Приложения №2 к приказу 342н от 20.05.2022г.)
Деятельность непосредственно связанная с обслуживанием оборудования, работающего под избыточным давлением более 0,07 МПа (п.13 Приложения №2 к приказу 342н от 20.05.2022г.)</v>
      </c>
      <c r="B37" s="71"/>
      <c r="C37" s="71"/>
      <c r="D37" s="71"/>
      <c r="E37" s="71"/>
      <c r="F37" s="71"/>
      <c r="G37" s="71"/>
      <c r="H37" s="71"/>
      <c r="I37" s="71"/>
      <c r="J37" s="71"/>
    </row>
    <row r="38" spans="1:11" ns2:dyDescent="0.2">
      <c r="A38" s="51"/>
      <c r="B38" s="51"/>
      <c r="C38" s="51"/>
      <c r="D38" s="51"/>
      <c r="E38" s="51"/>
      <c r="F38" s="51"/>
      <c r="G38" s="51"/>
      <c r="H38" s="51"/>
      <c r="I38" s="51"/>
      <c r="J38" s="51"/>
    </row>
    <row r="39" spans="1:11" ht="53.25" customHeight="1" ns2:dyDescent="0.2">
      <c r="A39" s="72" t="str">
        <v>Освидетельствование прошу провести согласно "Порядка прохождения обязательного психиатрического освидетельствования работниками, осуществляющими отдельные виды деятельности, его периодичность, а также видов деятельности, при осуществлении которых проводится психиатрическое освидетельствование", утв. приказом Министерства здравоохранения РФ от 20 мая 2022г. № 342н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</row>
    <row r="41" spans="1:11" ht="30" customHeight="1" ns2:dyDescent="0.2">
      <c r="A41" s="73" t="str">
        <v>Решение врачебной комиссии о его (ее) годности (негодности) к выполнению поручаемой работы прошу выдать на руки обследуемому.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</row>
    <row r="43" spans="1:11" ns2:dyDescent="0.2">
      <c r="A43" s="64" t="str">
        <f>'Направления_на_МО'!A44</f>
        <v>Специалист по подбору персонала</v>
      </c>
      <c r="B43" s="64"/>
      <c r="C43" s="64"/>
      <c r="D43" s="64"/>
      <c r="E43" s="64"/>
      <c r="F43" s="64"/>
      <c r="G43" s="64"/>
      <c r="H43" s="64"/>
      <c r="I43" s="64" t="str">
        <f>'Направления_на_МО'!I44</f>
        <v>Примеров П.П.</v>
      </c>
      <c r="J43" s="64"/>
      <c r="K43" s="64"/>
    </row>
    <row r="44" spans="1:11" s="9" customFormat="1" ht="12" ns2:dyDescent="0.15">
      <c r="A44" s="61" t="str">
        <v>(должность уполномоченного представителя работодателя)</v>
      </c>
      <c r="B44" s="61"/>
      <c r="C44" s="61"/>
      <c r="D44" s="61"/>
      <c r="E44" s="61"/>
      <c r="F44" s="61"/>
      <c r="G44" s="61" t="str">
        <v>(подпись)</v>
      </c>
      <c r="H44" s="61"/>
      <c r="I44" s="61" t="str">
        <v>(фамилия, инициалы)</v>
      </c>
      <c r="J44" s="61"/>
      <c r="K44" s="61"/>
    </row>
    <row r="45" spans="1:11" s="9" customFormat="1" ht="12" ns2:dyDescent="0.1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</row>
    <row r="46" spans="1:11" s="9" customFormat="1" ht="12" ns2:dyDescent="0.1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</row>
    <row r="47" spans="1:11" s="9" customFormat="1" ht="12" ns2:dyDescent="0.1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</row>
    <row r="49" spans="1:11" ns2:dyDescent="0.2">
      <c r="A49" s="102" t="n">
        <f>'Направления_на_МО'!A42</f>
        <v>46311</v>
      </c>
      <c r="B49" s="62"/>
      <c r="C49" s="62"/>
    </row>
    <row r="50" spans="1:11" ht="72" customHeight="1" ns2:dyDescent="0.2">
      <c r="A50" s="63" t="str">
        <v>«В случае предоставления работником поддельного медицинского заключения, наступает уголовная ответственность по ст. 327 УК РФ, с последующим увольнением. Важно, что при прохождении МО работник должен лично присутствовать в лечебном учреждении и производить оплату только в кассе данного учреждения!»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</row>
    <row r="51" spans="1:11" ns2:dyDescent="0.2">
      <c r="A51" s="60" t="str">
        <v>Ознакомлен:</v>
      </c>
      <c r="B51" s="60"/>
      <c r="E51" s="60" t="str">
        <v>Подпись:</v>
      </c>
      <c r="F51" s="60"/>
    </row>
  </sheetData>
  <mergeCells count="43">
    <mergeCell ref="G6:H6"/>
    <mergeCell ref="F1:K1"/>
    <mergeCell ref="F2:K2"/>
    <mergeCell ref="F3:K3"/>
    <mergeCell ref="F4:K4"/>
    <mergeCell ref="G5:J5"/>
    <mergeCell ref="A23:K23"/>
    <mergeCell ref="I7:K7"/>
    <mergeCell ref="F8:K8"/>
    <mergeCell ref="H9:J9"/>
    <mergeCell ref="F10:J10"/>
    <mergeCell ref="H12:K12"/>
    <mergeCell ref="H13:I13"/>
    <mergeCell ref="A17:K17"/>
    <mergeCell ref="A18:K18"/>
    <mergeCell ref="A19:K19"/>
    <mergeCell ref="A21:K21"/>
    <mergeCell ref="A22:K22"/>
    <mergeCell ref="A24:K24"/>
    <mergeCell ref="A26:K26"/>
    <mergeCell ref="A27:K27"/>
    <mergeCell ref="A28:J28"/>
    <mergeCell ref="A29:G29"/>
    <mergeCell ref="H29:J29"/>
    <mergeCell ref="A43:F43"/>
    <mergeCell ref="G43:H43"/>
    <mergeCell ref="I43:K43"/>
    <mergeCell ref="A30:G30"/>
    <mergeCell ref="H30:J30"/>
    <mergeCell ref="F31:J31"/>
    <mergeCell ref="A32:K32"/>
    <mergeCell ref="A33:K33"/>
    <mergeCell ref="A34:J34"/>
    <mergeCell ref="G35:J35"/>
    <mergeCell ref="A36:K36"/>
    <mergeCell ref="A37:J37"/>
    <mergeCell ref="A39:K39"/>
    <mergeCell ref="A41:K41"/>
    <mergeCell ref="A44:F44"/>
    <mergeCell ref="G44:H44"/>
    <mergeCell ref="I44:K44"/>
    <mergeCell ref="A49:C49"/>
    <mergeCell ref="A50:K50"/>
  </mergeCells>
  <conditionalFormatting sqref="A37:J37">
    <cfRule type="containsText" dxfId="1" priority="1" operator="containsText" text="Психиатрическое освидетельствование не требуется">
      <formula>NOT(ISERROR(SEARCH("Психиатрическое освидетельствование не требуется",A37)))</formula>
    </cfRule>
    <cfRule type="containsText" dxfId="0" priority="2" operator="containsText" text="психиатрическое освидетельствование не требуется">
      <formula>NOT(ISERROR(SEARCH("психиатрическое освидетельствование не требуется",A37)))</formula>
    </cfRule>
  </conditionalFormatting>
  <pageMargins left="0.7" right="0.7" top="0.75" bottom="0.75" header="0.3" footer="0.3"/>
  <pageSetup paperSize="9" fitToHeight="1" orientation="portrait" fitToWidth="1"/>
  <drawing r:id="rId3"/>
</worksheet>
</file>

<file path=xl/worksheets/sheet4.xml><?xml version="1.0" encoding="utf-8"?>
<worksheet xmlns="http://schemas.openxmlformats.org/spreadsheetml/2006/main">
  <sheetPr>
    <pageSetUpPr fitToPage="1"/>
  </sheetPr>
  <dimension ref="A1:D23"/>
  <sheetViews>
    <sheetView showGridLines="0" workbookViewId="0">
      <pane ySplit="3" topLeftCell="A4" activePane="bottomLeft" state="frozen"/>
    </sheetView>
  </sheetViews>
  <sheetFormatPr defaultRowHeight="15"/>
  <cols>
    <col min="1" max="1" width="6" hidden="1" customWidth="1"/>
    <col min="2" max="2" width="42" hidden="0" customWidth="1"/>
    <col min="3" max="3" width="37" hidden="0" customWidth="1"/>
    <col min="4" max="4" width="95" hidden="0" customWidth="1"/>
  </cols>
  <sheetData>
    <row r="1" ht="28" customHeight="1">
      <c r="A1" s="89"/>
      <c r="B1" s="89" t="str">
        <v>ООО «Ресурс Тест» (РТ) — демонстрационные контингенты</v>
      </c>
      <c r="C1" s="88"/>
      <c r="D1" s="88"/>
    </row>
    <row r="2" ht="25" customHeight="1">
      <c r="A2" s="90"/>
      <c r="B2" s="90" t="str">
        <v>Связи должностей с требованиями условные. Данные для демонстрации.</v>
      </c>
      <c r="C2" s="88"/>
      <c r="D2" s="88"/>
    </row>
    <row r="3" ht="36" customHeight="1">
      <c r="A3" s="95" t="str">
        <v>Ключ: подразделение + должность</v>
      </c>
      <c r="B3" s="95" t="str">
        <v>Структурное подразделение</v>
      </c>
      <c r="C3" s="95" t="str">
        <v>Должность</v>
      </c>
      <c r="D3" s="95" t="str">
        <v>Вид деятельности для ПО / отсутствие необходимости</v>
      </c>
    </row>
    <row r="4" ht="78" customHeight="1">
      <c r="A4" s="98" t="str">
        <f>B4&amp;"|"&amp;C4</f>
        <v>Технологический комплекс|Оператор производственной линии</v>
      </c>
      <c r="B4" s="98" t="str">
        <v>Технологический комплекс</v>
      </c>
      <c r="C4" s="98" t="str">
        <v>Оператор производственной линии</v>
      </c>
      <c r="D4" s="98" t="str">
        <v>Деятельность, связанная с управлением транспортными средствами или управлением движением транспортных средств (п.1 Приложения №2 к приказу 342н от 20.05.2022г.)</v>
      </c>
    </row>
    <row r="5" ht="48" customHeight="1">
      <c r="A5" s="98" t="str">
        <f>B5&amp;"|"&amp;C5</f>
        <v>Технологический комплекс|Аппаратчик</v>
      </c>
      <c r="B5" s="98" t="str">
        <v>Технологический комплекс</v>
      </c>
      <c r="C5" s="98" t="str">
        <v>Аппаратчик</v>
      </c>
      <c r="D5" s="98" t="str">
        <v>Психиатрическое освидетельствование не требуется</v>
      </c>
    </row>
    <row r="6" ht="108" customHeight="1">
      <c r="A6" s="98" t="str">
        <f>B6&amp;"|"&amp;C6</f>
        <v>Технологический комплекс|Мастер участка</v>
      </c>
      <c r="B6" s="98" t="str">
        <v>Технологический комплекс</v>
      </c>
      <c r="C6" s="98" t="str">
        <v>Мастер участка</v>
      </c>
      <c r="D6" s="98" t="str">
        <v>Деятельность, связанная с производством, хранением и применением взрывчатых материалов и веществ (п.2 Приложения №2 к приказу 342н от 20.05.2022г.)
Деятельность непосредственно связанная с обслуживанием оборудования, работающего под избыточным давлением более 0,07 МПа (п.13 Приложения №2 к приказу 342н от 20.05.2022г.)</v>
      </c>
    </row>
    <row r="7" ht="48" customHeight="1">
      <c r="A7" s="98" t="str">
        <f>B7&amp;"|"&amp;C7</f>
        <v>Технологический комплекс|Технолог</v>
      </c>
      <c r="B7" s="98" t="str">
        <v>Технологический комплекс</v>
      </c>
      <c r="C7" s="98" t="str">
        <v>Технолог</v>
      </c>
      <c r="D7" s="98" t="str">
        <v>Психиатрическое освидетельствование не требуется</v>
      </c>
    </row>
    <row r="8" ht="78" customHeight="1">
      <c r="A8" s="97" t="str">
        <f>B8&amp;"|"&amp;C8</f>
        <v>Горнодобывающий комплекс|Машинист экскаватора</v>
      </c>
      <c r="B8" s="97" t="str">
        <v>Горнодобывающий комплекс</v>
      </c>
      <c r="C8" s="97" t="str">
        <v>Машинист экскаватора</v>
      </c>
      <c r="D8" s="97" t="str">
        <v>Деятельность непосредственно связанная с обслуживанием оборудования, работающего под избыточным давлением более 0,07 МПа (п.13 Приложения №2 к приказу 342н от 20.05.2022г.)</v>
      </c>
    </row>
    <row r="9" ht="48" customHeight="1">
      <c r="A9" s="97" t="str">
        <f>B9&amp;"|"&amp;C9</f>
        <v>Горнодобывающий комплекс|Машинист бульдозера</v>
      </c>
      <c r="B9" s="97" t="str">
        <v>Горнодобывающий комплекс</v>
      </c>
      <c r="C9" s="97" t="str">
        <v>Машинист бульдозера</v>
      </c>
      <c r="D9" s="97" t="str">
        <v>Психиатрическое освидетельствование не требуется</v>
      </c>
    </row>
    <row r="10" ht="108" customHeight="1">
      <c r="A10" s="97" t="str">
        <f>B10&amp;"|"&amp;C10</f>
        <v>Горнодобывающий комплекс|Горный мастер</v>
      </c>
      <c r="B10" s="97" t="str">
        <v>Горнодобывающий комплекс</v>
      </c>
      <c r="C10" s="97" t="str">
        <v>Горный мастер</v>
      </c>
      <c r="D10" s="97" t="str">
        <v>Деятельность в сфере электроэнергетики, связанная с организацией и осуществлением монтажа, наладки, технического обслуживания, ремонта, управления режимом работы электроустановок (п.11 Приложения №2 к приказу 342н от 20.05.2022г.)
Деятельность, связанная в сфере электроэнергетики, связанная с техническим обслуживанием, управлением режимом работы электроустановок (п.11 Приложения №2 к приказу 342н от 20.05.2022г.)</v>
      </c>
    </row>
    <row r="11" ht="48" customHeight="1">
      <c r="A11" s="97" t="str">
        <f>B11&amp;"|"&amp;C11</f>
        <v>Горнодобывающий комплекс|Инженер</v>
      </c>
      <c r="B11" s="97" t="str">
        <v>Горнодобывающий комплекс</v>
      </c>
      <c r="C11" s="97" t="str">
        <v>Инженер</v>
      </c>
      <c r="D11" s="97" t="str">
        <v>Психиатрическое освидетельствование не требуется</v>
      </c>
    </row>
    <row r="12" ht="78" customHeight="1">
      <c r="A12" s="98" t="str">
        <f>B12&amp;"|"&amp;C12</f>
        <v>Служба обслуживания и ремонта оборудования|Слесарь-ремонтник</v>
      </c>
      <c r="B12" s="98" t="str">
        <v>Служба обслуживания и ремонта оборудования</v>
      </c>
      <c r="C12" s="98" t="str">
        <v>Слесарь-ремонтник</v>
      </c>
      <c r="D12" s="98" t="str">
        <v>Деятельность, связанная в сфере электроэнергетики, связанная с техническим обслуживанием, управлением режимом работы электроустановок (п.11 Приложения №2 к приказу 342н от 20.05.2022г.)</v>
      </c>
    </row>
    <row r="13" ht="48" customHeight="1">
      <c r="A13" s="98" t="str">
        <f>B13&amp;"|"&amp;C13</f>
        <v>Служба обслуживания и ремонта оборудования|Электромонтёр</v>
      </c>
      <c r="B13" s="98" t="str">
        <v>Служба обслуживания и ремонта оборудования</v>
      </c>
      <c r="C13" s="98" t="str">
        <v>Электромонтёр</v>
      </c>
      <c r="D13" s="98" t="str">
        <v>Психиатрическое освидетельствование не требуется</v>
      </c>
    </row>
    <row r="14" ht="108" customHeight="1">
      <c r="A14" s="98" t="str">
        <f>B14&amp;"|"&amp;C14</f>
        <v>Служба обслуживания и ремонта оборудования|Механик</v>
      </c>
      <c r="B14" s="98" t="str">
        <v>Служба обслуживания и ремонта оборудования</v>
      </c>
      <c r="C14" s="98" t="str">
        <v>Механик</v>
      </c>
      <c r="D14" s="98" t="str">
        <v>Деятельность в сфере теплоснабжения, связанная с организацией и осуществлением монтажа, наладки, технического обслуживания, ремонта, управления режимом работы объектов теплоснабжения (п.12 Приложения №2 к приказу 342н от 20.05.2022г.)
Деятельность по непосредственному забору, очистке и распределению воды питьевых нужд систем централизованного водоснабжения (п.7 Приложения №2 к приказу 342н от 20.05.2022г.)</v>
      </c>
    </row>
    <row r="15" ht="48" customHeight="1">
      <c r="A15" s="98" t="str">
        <f>B15&amp;"|"&amp;C15</f>
        <v>Служба обслуживания и ремонта оборудования|Мастер по ремонту оборудования</v>
      </c>
      <c r="B15" s="98" t="str">
        <v>Служба обслуживания и ремонта оборудования</v>
      </c>
      <c r="C15" s="98" t="str">
        <v>Мастер по ремонту оборудования</v>
      </c>
      <c r="D15" s="98" t="str">
        <v>Психиатрическое освидетельствование не требуется</v>
      </c>
    </row>
    <row r="16" ht="78" customHeight="1">
      <c r="A16" s="97" t="str">
        <f>B16&amp;"|"&amp;C16</f>
        <v>Автотранспортный участок|Водитель автомобиля</v>
      </c>
      <c r="B16" s="97" t="str">
        <v>Автотранспортный участок</v>
      </c>
      <c r="C16" s="97" t="str">
        <v>Водитель автомобиля</v>
      </c>
      <c r="D16" s="97" t="str">
        <v>Деятельность по непосредственному забору, очистке и распределению воды питьевых нужд систем централизованного водоснабжения (п.7 Приложения №2 к приказу 342н от 20.05.2022г.)</v>
      </c>
    </row>
    <row r="17" ht="48" customHeight="1">
      <c r="A17" s="97" t="str">
        <f>B17&amp;"|"&amp;C17</f>
        <v>Автотранспортный участок|Водитель автобуса</v>
      </c>
      <c r="B17" s="97" t="str">
        <v>Автотранспортный участок</v>
      </c>
      <c r="C17" s="97" t="str">
        <v>Водитель автобуса</v>
      </c>
      <c r="D17" s="97" t="str">
        <v>Психиатрическое освидетельствование не требуется</v>
      </c>
    </row>
    <row r="18" ht="108" customHeight="1">
      <c r="A18" s="97" t="str">
        <f>B18&amp;"|"&amp;C18</f>
        <v>Автотранспортный участок|Диспетчер</v>
      </c>
      <c r="B18" s="97" t="str">
        <v>Автотранспортный участок</v>
      </c>
      <c r="C18" s="97" t="str">
        <v>Диспетчер</v>
      </c>
      <c r="D18" s="97" t="str">
        <v>Деятельность, в сфере теплоснабжения, связанная с организацией и осуществлением монтаж, наладки, технического обслуживания, ремонта  (п.12 Приложения №2 к приказу 342н от 20.05.2022г.)
Деятельность, непосредственно связанная с управлением подъемными механизмами (кранами) (п.6 Приложения №2 к приказу 342н от 20.05.2022г.)</v>
      </c>
    </row>
    <row r="19" ht="48" customHeight="1">
      <c r="A19" s="97" t="str">
        <f>B19&amp;"|"&amp;C19</f>
        <v>Автотранспортный участок|Механик автотранспорта</v>
      </c>
      <c r="B19" s="97" t="str">
        <v>Автотранспортный участок</v>
      </c>
      <c r="C19" s="97" t="str">
        <v>Механик автотранспорта</v>
      </c>
      <c r="D19" s="97" t="str">
        <v>Психиатрическое освидетельствование не требуется</v>
      </c>
    </row>
    <row r="20" ht="78" customHeight="1">
      <c r="A20" s="98" t="str">
        <f>B20&amp;"|"&amp;C20</f>
        <v>Служба по работе с персоналом|Специалист по подбору персонала</v>
      </c>
      <c r="B20" s="98" t="str">
        <v>Служба по работе с персоналом</v>
      </c>
      <c r="C20" s="98" t="str">
        <v>Специалист по подбору персонала</v>
      </c>
      <c r="D20" s="98" t="str">
        <v>Деятельность, непосредственно связанная с управлением подъемными механизмами (кранами) (п.6 Приложения №2 к приказу 342н от 20.05.2022г.)</v>
      </c>
    </row>
    <row r="21" ht="48" customHeight="1">
      <c r="A21" s="98" t="str">
        <f>B21&amp;"|"&amp;C21</f>
        <v>Служба по работе с персоналом|Специалист по кадрам</v>
      </c>
      <c r="B21" s="98" t="str">
        <v>Служба по работе с персоналом</v>
      </c>
      <c r="C21" s="98" t="str">
        <v>Специалист по кадрам</v>
      </c>
      <c r="D21" s="98" t="str">
        <v>Психиатрическое освидетельствование не требуется</v>
      </c>
    </row>
    <row r="22" ht="108" customHeight="1">
      <c r="A22" s="98" t="str">
        <f>B22&amp;"|"&amp;C22</f>
        <v>Служба по работе с персоналом|Специалист по обучению</v>
      </c>
      <c r="B22" s="98" t="str">
        <v>Служба по работе с персоналом</v>
      </c>
      <c r="C22" s="98" t="str">
        <v>Специалист по обучению</v>
      </c>
      <c r="D22" s="98" t="str">
        <v>Деятельность, связанная с управлением транспортными средствами или управлением движением транспортных средств (п.1 Приложения №2 к приказу 342н от 20.05.2022г.)
Деятельность, связанная с производством, хранением и применением взрывчатых материалов и веществ (п.2 Приложения №2 к приказу 342н от 20.05.2022г.)</v>
      </c>
    </row>
    <row r="23" ht="48" customHeight="1">
      <c r="A23" s="98" t="str">
        <f>B23&amp;"|"&amp;C23</f>
        <v>Служба по работе с персоналом|Руководитель службы</v>
      </c>
      <c r="B23" s="98" t="str">
        <v>Служба по работе с персоналом</v>
      </c>
      <c r="C23" s="98" t="str">
        <v>Руководитель службы</v>
      </c>
      <c r="D23" s="98" t="str">
        <v>Психиатрическое освидетельствование не требуется</v>
      </c>
    </row>
  </sheetData>
  <pageMargins left="0.7" right="0.7" top="0.75" bottom="0.75" header="0.3" footer="0.3"/>
  <pageSetup orientation="landscape" paperSize="8" fitToWidth="1" fitToHeight="1"/>
</worksheet>
</file>

<file path=docProps/app.xml><?xml version="1.0" encoding="utf-8"?>
<Properties xmlns="http://schemas.openxmlformats.org/officeDocument/2006/extended-properties">
  <Application>Demo</Application>
</Properties>
</file>

<file path=docProps/core.xml><?xml version="1.0" encoding="utf-8"?>
<cp:coreProperties xmlns:cp="http://schemas.openxmlformats.org/package/2006/metadata/core-properties" xmlns:dc="http://purl.org/dc/elements/1.1/">
  <dc:creator>Demo</dc:creator>
  <cp:lastModifiedBy>Demo</cp:lastModifiedBy>
</cp:coreProperties>
</file>